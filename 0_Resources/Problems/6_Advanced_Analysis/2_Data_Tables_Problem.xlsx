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\Downloads\0_Resources\Problems\6_Advanced_Analysis\"/>
    </mc:Choice>
  </mc:AlternateContent>
  <xr:revisionPtr revIDLastSave="0" documentId="13_ncr:1_{C4DBA1D6-858A-444C-AED4-A0BA574F31D0}" xr6:coauthVersionLast="47" xr6:coauthVersionMax="47" xr10:uidLastSave="{00000000-0000-0000-0000-000000000000}"/>
  <bookViews>
    <workbookView xWindow="-120" yWindow="-120" windowWidth="20730" windowHeight="11160" activeTab="1" xr2:uid="{7520FE27-1537-4B08-B66C-E274CF35CCEC}"/>
  </bookViews>
  <sheets>
    <sheet name="6-2-1" sheetId="1" r:id="rId1"/>
    <sheet name="6-2-2" sheetId="2" r:id="rId2"/>
  </sheets>
  <definedNames>
    <definedName name="grant" localSheetId="1">'6-2-2'!$C$3</definedName>
    <definedName name="grant">'6-2-1'!$C$3</definedName>
    <definedName name="options" localSheetId="1">'6-2-2'!$C$5</definedName>
    <definedName name="options">'6-2-1'!$C$5</definedName>
    <definedName name="period" localSheetId="1">'6-2-2'!$C$6</definedName>
    <definedName name="period">'6-2-1'!$C$6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'6-2-1'!$C$3</definedName>
    <definedName name="solver_lhs1" localSheetId="1" hidden="1">'6-2-2'!$C$3</definedName>
    <definedName name="solver_lhs2" localSheetId="0" hidden="1">'6-2-1'!$C$5</definedName>
    <definedName name="solver_lhs2" localSheetId="1" hidden="1">'6-2-2'!$C$5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hs1" localSheetId="0" hidden="1">17.5</definedName>
    <definedName name="solver_rhs1" localSheetId="1" hidden="1">17.5</definedName>
    <definedName name="solver_rhs2" localSheetId="0" hidden="1">2800</definedName>
    <definedName name="solver_rhs2" localSheetId="1" hidden="1">2800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stock" localSheetId="1">'6-2-2'!$C$4</definedName>
    <definedName name="stock">'6-2-1'!$C$4</definedName>
    <definedName name="Total" localSheetId="1">'6-2-2'!$C$15</definedName>
    <definedName name="Total">'6-2-1'!$C$15</definedName>
    <definedName name="Year1" localSheetId="1">'6-2-2'!$C$10</definedName>
    <definedName name="Year1">'6-2-1'!$C$10</definedName>
    <definedName name="Year2" localSheetId="1">'6-2-2'!$C$11</definedName>
    <definedName name="Year2">'6-2-1'!$C$11</definedName>
    <definedName name="Year3" localSheetId="1">'6-2-2'!$C$12</definedName>
    <definedName name="Year3">'6-2-1'!$C$12</definedName>
    <definedName name="Year4" localSheetId="1">'6-2-2'!$C$13</definedName>
    <definedName name="Year4">'6-2-1'!$C$13</definedName>
    <definedName name="Year5" localSheetId="1">'6-2-2'!$C$14</definedName>
    <definedName name="Year5">'6-2-1'!$C$14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C12" i="2"/>
  <c r="C11" i="2"/>
  <c r="C10" i="2"/>
  <c r="C11" i="1"/>
  <c r="G8" i="1" s="1"/>
  <c r="C12" i="1"/>
  <c r="H8" i="1" s="1"/>
  <c r="C13" i="1"/>
  <c r="I8" i="1" s="1"/>
  <c r="C14" i="1"/>
  <c r="J8" i="1" s="1"/>
  <c r="C10" i="1"/>
  <c r="F8" i="1" s="1"/>
  <c r="C15" i="2" l="1"/>
  <c r="E8" i="2" s="1"/>
  <c r="C15" i="1"/>
  <c r="K8" i="1" s="1"/>
</calcChain>
</file>

<file path=xl/sharedStrings.xml><?xml version="1.0" encoding="utf-8"?>
<sst xmlns="http://schemas.openxmlformats.org/spreadsheetml/2006/main" count="43" uniqueCount="21">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</sst>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2" borderId="1" applyNumberFormat="0" applyAlignment="0" applyProtection="0"/>
  </cellStyleXfs>
  <cellXfs count="44">
    <xf numFmtId="0" fontId="0" fillId="0" borderId="0" xfId="0"/>
    <xf numFmtId="168" fontId="0" fillId="0" borderId="2" xfId="2" applyNumberFormat="1" applyFont="1" applyBorder="1"/>
    <xf numFmtId="167" fontId="0" fillId="0" borderId="2" xfId="1" applyNumberFormat="1" applyFont="1" applyBorder="1"/>
    <xf numFmtId="0" fontId="3" fillId="0" borderId="5" xfId="0" applyFont="1" applyBorder="1"/>
    <xf numFmtId="164" fontId="2" fillId="2" borderId="6" xfId="3" applyNumberFormat="1" applyBorder="1"/>
    <xf numFmtId="167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8" fontId="0" fillId="0" borderId="10" xfId="2" applyNumberFormat="1" applyFont="1" applyBorder="1"/>
    <xf numFmtId="167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0" fillId="0" borderId="6" xfId="0" applyNumberFormat="1" applyBorder="1"/>
    <xf numFmtId="0" fontId="3" fillId="0" borderId="11" xfId="0" applyFont="1" applyBorder="1" applyAlignment="1">
      <alignment horizontal="left"/>
    </xf>
    <xf numFmtId="164" fontId="0" fillId="0" borderId="12" xfId="0" applyNumberFormat="1" applyBorder="1"/>
    <xf numFmtId="0" fontId="3" fillId="0" borderId="13" xfId="0" applyFont="1" applyBorder="1" applyAlignment="1">
      <alignment horizontal="left"/>
    </xf>
    <xf numFmtId="164" fontId="3" fillId="0" borderId="14" xfId="0" applyNumberFormat="1" applyFont="1" applyBorder="1"/>
    <xf numFmtId="0" fontId="3" fillId="0" borderId="0" xfId="0" applyFont="1" applyAlignment="1">
      <alignment horizontal="center"/>
    </xf>
    <xf numFmtId="0" fontId="6" fillId="0" borderId="15" xfId="2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8" fontId="0" fillId="0" borderId="0" xfId="2" applyNumberFormat="1" applyFont="1"/>
    <xf numFmtId="168" fontId="0" fillId="0" borderId="19" xfId="2" applyNumberFormat="1" applyFont="1" applyBorder="1"/>
    <xf numFmtId="168" fontId="0" fillId="0" borderId="17" xfId="2" applyNumberFormat="1" applyFont="1" applyBorder="1"/>
    <xf numFmtId="168" fontId="0" fillId="0" borderId="18" xfId="2" applyNumberFormat="1" applyFont="1" applyBorder="1"/>
    <xf numFmtId="168" fontId="0" fillId="3" borderId="15" xfId="2" applyNumberFormat="1" applyFont="1" applyFill="1" applyBorder="1"/>
    <xf numFmtId="168" fontId="0" fillId="0" borderId="3" xfId="2" applyNumberFormat="1" applyFont="1" applyBorder="1"/>
    <xf numFmtId="168" fontId="0" fillId="0" borderId="9" xfId="2" applyNumberFormat="1" applyFont="1" applyBorder="1"/>
    <xf numFmtId="168" fontId="0" fillId="0" borderId="4" xfId="2" applyNumberFormat="1" applyFont="1" applyBorder="1"/>
    <xf numFmtId="168" fontId="0" fillId="0" borderId="5" xfId="2" applyNumberFormat="1" applyFont="1" applyBorder="1"/>
    <xf numFmtId="168" fontId="0" fillId="0" borderId="6" xfId="2" applyNumberFormat="1" applyFont="1" applyBorder="1"/>
    <xf numFmtId="168" fontId="0" fillId="0" borderId="7" xfId="2" applyNumberFormat="1" applyFont="1" applyBorder="1"/>
    <xf numFmtId="168" fontId="0" fillId="0" borderId="8" xfId="2" applyNumberFormat="1" applyFont="1" applyBorder="1"/>
    <xf numFmtId="168" fontId="0" fillId="0" borderId="20" xfId="2" applyNumberFormat="1" applyFont="1" applyFill="1" applyBorder="1"/>
    <xf numFmtId="168" fontId="0" fillId="0" borderId="16" xfId="2" applyNumberFormat="1" applyFont="1" applyBorder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K16"/>
  <sheetViews>
    <sheetView workbookViewId="0">
      <selection activeCell="E8" sqref="E8"/>
    </sheetView>
  </sheetViews>
  <sheetFormatPr defaultRowHeight="15" x14ac:dyDescent="0.25"/>
  <cols>
    <col min="2" max="2" width="18.5703125" bestFit="1" customWidth="1"/>
    <col min="3" max="3" width="11.140625" bestFit="1" customWidth="1"/>
    <col min="5" max="5" width="10" bestFit="1" customWidth="1"/>
    <col min="6" max="7" width="11.5703125" bestFit="1" customWidth="1"/>
    <col min="8" max="8" width="12.7109375" bestFit="1" customWidth="1"/>
    <col min="9" max="9" width="12.28515625" bestFit="1" customWidth="1"/>
    <col min="10" max="10" width="9" bestFit="1" customWidth="1"/>
    <col min="11" max="11" width="13.42578125" customWidth="1"/>
  </cols>
  <sheetData>
    <row r="1" spans="2:11" ht="15.75" thickBot="1" x14ac:dyDescent="0.3"/>
    <row r="2" spans="2:11" x14ac:dyDescent="0.25">
      <c r="B2" s="27" t="s">
        <v>5</v>
      </c>
      <c r="C2" s="28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25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2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5.75" thickBot="1" x14ac:dyDescent="0.3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5.75" thickBot="1" x14ac:dyDescent="0.3">
      <c r="B6" s="6" t="s">
        <v>10</v>
      </c>
      <c r="C6" s="7">
        <v>4</v>
      </c>
    </row>
    <row r="7" spans="2:11" ht="15.75" thickBot="1" x14ac:dyDescent="0.3">
      <c r="E7" s="25" t="s">
        <v>9</v>
      </c>
      <c r="F7" s="25" t="s">
        <v>16</v>
      </c>
      <c r="G7" s="25" t="s">
        <v>17</v>
      </c>
      <c r="H7" s="25" t="s">
        <v>18</v>
      </c>
      <c r="I7" s="25" t="s">
        <v>19</v>
      </c>
      <c r="J7" s="25" t="s">
        <v>20</v>
      </c>
      <c r="K7" s="25" t="s">
        <v>7</v>
      </c>
    </row>
    <row r="8" spans="2:11" ht="15.75" thickBot="1" x14ac:dyDescent="0.3">
      <c r="B8" s="27" t="s">
        <v>4</v>
      </c>
      <c r="C8" s="28"/>
      <c r="E8" s="30"/>
      <c r="F8" s="31">
        <f>Year1</f>
        <v>9375</v>
      </c>
      <c r="G8" s="32">
        <f>Year2</f>
        <v>9375</v>
      </c>
      <c r="H8" s="32">
        <f>Year3</f>
        <v>9375</v>
      </c>
      <c r="I8" s="32">
        <f>Year4</f>
        <v>9375</v>
      </c>
      <c r="J8" s="32">
        <f>Year5</f>
        <v>0</v>
      </c>
      <c r="K8" s="33">
        <f>Total</f>
        <v>37500</v>
      </c>
    </row>
    <row r="9" spans="2:11" ht="15.75" thickBot="1" x14ac:dyDescent="0.3">
      <c r="B9" s="17" t="s">
        <v>11</v>
      </c>
      <c r="C9" s="18" t="s">
        <v>12</v>
      </c>
      <c r="E9" s="34">
        <v>25</v>
      </c>
      <c r="F9" s="35">
        <f t="dataTable" ref="F9:K16" dt2D="0" dtr="0" r1="C4"/>
        <v>0</v>
      </c>
      <c r="G9" s="36">
        <v>0</v>
      </c>
      <c r="H9" s="36">
        <v>0</v>
      </c>
      <c r="I9" s="36">
        <v>0</v>
      </c>
      <c r="J9" s="36">
        <v>0</v>
      </c>
      <c r="K9" s="37">
        <v>0</v>
      </c>
    </row>
    <row r="10" spans="2:11" ht="15.75" thickBot="1" x14ac:dyDescent="0.3">
      <c r="B10" s="19">
        <v>1</v>
      </c>
      <c r="C10" s="20">
        <f>IF($C$6&gt;=$B10,((($C$4-$C$3)*$C$5)/$C$6),0)</f>
        <v>9375</v>
      </c>
      <c r="E10" s="34">
        <v>30</v>
      </c>
      <c r="F10" s="38">
        <v>3125</v>
      </c>
      <c r="G10" s="1">
        <v>3125</v>
      </c>
      <c r="H10" s="1">
        <v>3125</v>
      </c>
      <c r="I10" s="1">
        <v>3125</v>
      </c>
      <c r="J10" s="1">
        <v>0</v>
      </c>
      <c r="K10" s="39">
        <v>12500</v>
      </c>
    </row>
    <row r="11" spans="2:11" ht="15.75" thickBot="1" x14ac:dyDescent="0.3">
      <c r="B11" s="19">
        <v>2</v>
      </c>
      <c r="C11" s="20">
        <f t="shared" ref="C11:C14" si="0">IF($C$6&gt;=$B11,((($C$4-$C$3)*$C$5)/$C$6),0)</f>
        <v>9375</v>
      </c>
      <c r="E11" s="34">
        <v>35</v>
      </c>
      <c r="F11" s="38">
        <v>6250</v>
      </c>
      <c r="G11" s="1">
        <v>6250</v>
      </c>
      <c r="H11" s="1">
        <v>6250</v>
      </c>
      <c r="I11" s="1">
        <v>6250</v>
      </c>
      <c r="J11" s="1">
        <v>0</v>
      </c>
      <c r="K11" s="39">
        <v>25000</v>
      </c>
    </row>
    <row r="12" spans="2:11" ht="15.75" thickBot="1" x14ac:dyDescent="0.3">
      <c r="B12" s="19">
        <v>3</v>
      </c>
      <c r="C12" s="20">
        <f t="shared" si="0"/>
        <v>9375</v>
      </c>
      <c r="E12" s="34">
        <v>40</v>
      </c>
      <c r="F12" s="38">
        <v>9375</v>
      </c>
      <c r="G12" s="1">
        <v>9375</v>
      </c>
      <c r="H12" s="1">
        <v>9375</v>
      </c>
      <c r="I12" s="1">
        <v>9375</v>
      </c>
      <c r="J12" s="1">
        <v>0</v>
      </c>
      <c r="K12" s="39">
        <v>37500</v>
      </c>
    </row>
    <row r="13" spans="2:11" ht="15.75" thickBot="1" x14ac:dyDescent="0.3">
      <c r="B13" s="19">
        <v>4</v>
      </c>
      <c r="C13" s="20">
        <f t="shared" si="0"/>
        <v>9375</v>
      </c>
      <c r="E13" s="34">
        <v>45</v>
      </c>
      <c r="F13" s="38">
        <v>12500</v>
      </c>
      <c r="G13" s="1">
        <v>12500</v>
      </c>
      <c r="H13" s="1">
        <v>12500</v>
      </c>
      <c r="I13" s="1">
        <v>12500</v>
      </c>
      <c r="J13" s="1">
        <v>0</v>
      </c>
      <c r="K13" s="39">
        <v>50000</v>
      </c>
    </row>
    <row r="14" spans="2:11" ht="15.75" thickBot="1" x14ac:dyDescent="0.3">
      <c r="B14" s="21">
        <v>5</v>
      </c>
      <c r="C14" s="22">
        <f t="shared" si="0"/>
        <v>0</v>
      </c>
      <c r="E14" s="34">
        <v>50</v>
      </c>
      <c r="F14" s="38">
        <v>15625</v>
      </c>
      <c r="G14" s="1">
        <v>15625</v>
      </c>
      <c r="H14" s="1">
        <v>15625</v>
      </c>
      <c r="I14" s="1">
        <v>15625</v>
      </c>
      <c r="J14" s="1">
        <v>0</v>
      </c>
      <c r="K14" s="39">
        <v>62500</v>
      </c>
    </row>
    <row r="15" spans="2:11" ht="16.5" thickTop="1" thickBot="1" x14ac:dyDescent="0.3">
      <c r="B15" s="23" t="s">
        <v>7</v>
      </c>
      <c r="C15" s="24">
        <f>SUM(C10:C14)</f>
        <v>37500</v>
      </c>
      <c r="E15" s="34">
        <v>55</v>
      </c>
      <c r="F15" s="38">
        <v>18750</v>
      </c>
      <c r="G15" s="1">
        <v>18750</v>
      </c>
      <c r="H15" s="1">
        <v>18750</v>
      </c>
      <c r="I15" s="1">
        <v>18750</v>
      </c>
      <c r="J15" s="1">
        <v>0</v>
      </c>
      <c r="K15" s="39">
        <v>75000</v>
      </c>
    </row>
    <row r="16" spans="2:11" ht="15.75" thickBot="1" x14ac:dyDescent="0.3">
      <c r="E16" s="34">
        <v>60</v>
      </c>
      <c r="F16" s="40">
        <v>21875</v>
      </c>
      <c r="G16" s="14">
        <v>21875</v>
      </c>
      <c r="H16" s="14">
        <v>21875</v>
      </c>
      <c r="I16" s="14">
        <v>21875</v>
      </c>
      <c r="J16" s="14">
        <v>0</v>
      </c>
      <c r="K16" s="41">
        <v>87500</v>
      </c>
    </row>
  </sheetData>
  <mergeCells count="2">
    <mergeCell ref="B8:C8"/>
    <mergeCell ref="B2:C2"/>
  </mergeCells>
  <phoneticPr fontId="5" type="noConversion"/>
  <conditionalFormatting sqref="F9:J16">
    <cfRule type="colorScale" priority="2">
      <colorScale>
        <cfvo type="min"/>
        <cfvo type="max"/>
        <color rgb="FFFCFCFF"/>
        <color rgb="FF00B0F0"/>
      </colorScale>
    </cfRule>
  </conditionalFormatting>
  <conditionalFormatting sqref="K9:K16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A8CF-29E6-4069-9A5D-D34FFFC4181D}">
  <dimension ref="B1:K16"/>
  <sheetViews>
    <sheetView tabSelected="1" workbookViewId="0">
      <selection activeCell="G19" sqref="G19"/>
    </sheetView>
  </sheetViews>
  <sheetFormatPr defaultRowHeight="15" x14ac:dyDescent="0.25"/>
  <cols>
    <col min="2" max="2" width="18.5703125" bestFit="1" customWidth="1"/>
    <col min="3" max="3" width="11.140625" bestFit="1" customWidth="1"/>
    <col min="5" max="5" width="10.5703125" customWidth="1"/>
    <col min="6" max="9" width="15.28515625" bestFit="1" customWidth="1"/>
    <col min="10" max="10" width="13.7109375" bestFit="1" customWidth="1"/>
    <col min="11" max="11" width="10.42578125" customWidth="1"/>
  </cols>
  <sheetData>
    <row r="1" spans="2:11" ht="15.75" thickBot="1" x14ac:dyDescent="0.3"/>
    <row r="2" spans="2:11" x14ac:dyDescent="0.25">
      <c r="B2" s="27" t="s">
        <v>5</v>
      </c>
      <c r="C2" s="28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25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2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5.75" thickBot="1" x14ac:dyDescent="0.3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5.75" thickBot="1" x14ac:dyDescent="0.3">
      <c r="B6" s="6" t="s">
        <v>10</v>
      </c>
      <c r="C6" s="7">
        <v>4</v>
      </c>
    </row>
    <row r="7" spans="2:11" ht="15.75" thickBot="1" x14ac:dyDescent="0.3">
      <c r="E7" s="25" t="s">
        <v>9</v>
      </c>
      <c r="F7" s="29" t="s">
        <v>0</v>
      </c>
      <c r="G7" s="29"/>
      <c r="H7" s="29"/>
      <c r="I7" s="29"/>
      <c r="J7" s="29"/>
      <c r="K7" s="29"/>
    </row>
    <row r="8" spans="2:11" ht="15.75" thickBot="1" x14ac:dyDescent="0.3">
      <c r="B8" s="27" t="s">
        <v>4</v>
      </c>
      <c r="C8" s="28"/>
      <c r="E8" s="26">
        <f>Total</f>
        <v>37500</v>
      </c>
      <c r="F8" s="31">
        <v>5</v>
      </c>
      <c r="G8" s="32">
        <v>10</v>
      </c>
      <c r="H8" s="31">
        <v>15</v>
      </c>
      <c r="I8" s="32">
        <v>20</v>
      </c>
      <c r="J8" s="31">
        <v>25</v>
      </c>
      <c r="K8" s="32">
        <v>30</v>
      </c>
    </row>
    <row r="9" spans="2:11" x14ac:dyDescent="0.25">
      <c r="B9" s="17" t="s">
        <v>11</v>
      </c>
      <c r="C9" s="18" t="s">
        <v>12</v>
      </c>
      <c r="E9" s="42">
        <v>25</v>
      </c>
      <c r="F9" s="35">
        <f t="dataTable" ref="F9:K16" dt2D="1" dtr="1" r1="C3" r2="C4"/>
        <v>50000</v>
      </c>
      <c r="G9" s="36">
        <v>37500</v>
      </c>
      <c r="H9" s="36">
        <v>25000</v>
      </c>
      <c r="I9" s="36">
        <v>12500</v>
      </c>
      <c r="J9" s="36">
        <v>0</v>
      </c>
      <c r="K9" s="37">
        <v>-12500</v>
      </c>
    </row>
    <row r="10" spans="2:11" x14ac:dyDescent="0.25">
      <c r="B10" s="19">
        <v>1</v>
      </c>
      <c r="C10" s="20">
        <f>IF($C$6&gt;=$B10,((($C$4-$C$3)*$C$5)/$C$6),0)</f>
        <v>9375</v>
      </c>
      <c r="E10" s="43">
        <v>30</v>
      </c>
      <c r="F10" s="38">
        <v>62500</v>
      </c>
      <c r="G10" s="1">
        <v>50000</v>
      </c>
      <c r="H10" s="1">
        <v>37500</v>
      </c>
      <c r="I10" s="1">
        <v>25000</v>
      </c>
      <c r="J10" s="1">
        <v>12500</v>
      </c>
      <c r="K10" s="39">
        <v>0</v>
      </c>
    </row>
    <row r="11" spans="2:11" x14ac:dyDescent="0.25">
      <c r="B11" s="19">
        <v>2</v>
      </c>
      <c r="C11" s="20">
        <f t="shared" ref="C11:C14" si="0">IF($C$6&gt;=$B11,((($C$4-$C$3)*$C$5)/$C$6),0)</f>
        <v>9375</v>
      </c>
      <c r="E11" s="42">
        <v>35</v>
      </c>
      <c r="F11" s="38">
        <v>75000</v>
      </c>
      <c r="G11" s="1">
        <v>62500</v>
      </c>
      <c r="H11" s="1">
        <v>50000</v>
      </c>
      <c r="I11" s="1">
        <v>37500</v>
      </c>
      <c r="J11" s="1">
        <v>25000</v>
      </c>
      <c r="K11" s="39">
        <v>12500</v>
      </c>
    </row>
    <row r="12" spans="2:11" x14ac:dyDescent="0.25">
      <c r="B12" s="19">
        <v>3</v>
      </c>
      <c r="C12" s="20">
        <f t="shared" si="0"/>
        <v>9375</v>
      </c>
      <c r="E12" s="43">
        <v>40</v>
      </c>
      <c r="F12" s="38">
        <v>87500</v>
      </c>
      <c r="G12" s="1">
        <v>75000</v>
      </c>
      <c r="H12" s="1">
        <v>62500</v>
      </c>
      <c r="I12" s="1">
        <v>50000</v>
      </c>
      <c r="J12" s="1">
        <v>37500</v>
      </c>
      <c r="K12" s="39">
        <v>25000</v>
      </c>
    </row>
    <row r="13" spans="2:11" x14ac:dyDescent="0.25">
      <c r="B13" s="19">
        <v>4</v>
      </c>
      <c r="C13" s="20">
        <f t="shared" si="0"/>
        <v>9375</v>
      </c>
      <c r="E13" s="42">
        <v>45</v>
      </c>
      <c r="F13" s="38">
        <v>100000</v>
      </c>
      <c r="G13" s="1">
        <v>87500</v>
      </c>
      <c r="H13" s="1">
        <v>75000</v>
      </c>
      <c r="I13" s="1">
        <v>62500</v>
      </c>
      <c r="J13" s="1">
        <v>50000</v>
      </c>
      <c r="K13" s="39">
        <v>37500</v>
      </c>
    </row>
    <row r="14" spans="2:11" ht="15.75" thickBot="1" x14ac:dyDescent="0.3">
      <c r="B14" s="21">
        <v>5</v>
      </c>
      <c r="C14" s="22">
        <f t="shared" si="0"/>
        <v>0</v>
      </c>
      <c r="E14" s="43">
        <v>50</v>
      </c>
      <c r="F14" s="38">
        <v>112500</v>
      </c>
      <c r="G14" s="1">
        <v>100000</v>
      </c>
      <c r="H14" s="1">
        <v>87500</v>
      </c>
      <c r="I14" s="1">
        <v>75000</v>
      </c>
      <c r="J14" s="1">
        <v>62500</v>
      </c>
      <c r="K14" s="39">
        <v>50000</v>
      </c>
    </row>
    <row r="15" spans="2:11" ht="16.5" thickTop="1" thickBot="1" x14ac:dyDescent="0.3">
      <c r="B15" s="23" t="s">
        <v>7</v>
      </c>
      <c r="C15" s="24">
        <f>SUM(C10:C14)</f>
        <v>37500</v>
      </c>
      <c r="E15" s="42">
        <v>55</v>
      </c>
      <c r="F15" s="38">
        <v>125000</v>
      </c>
      <c r="G15" s="1">
        <v>112500</v>
      </c>
      <c r="H15" s="1">
        <v>100000</v>
      </c>
      <c r="I15" s="1">
        <v>87500</v>
      </c>
      <c r="J15" s="1">
        <v>75000</v>
      </c>
      <c r="K15" s="39">
        <v>62500</v>
      </c>
    </row>
    <row r="16" spans="2:11" ht="15.75" thickBot="1" x14ac:dyDescent="0.3">
      <c r="E16" s="43">
        <v>60</v>
      </c>
      <c r="F16" s="40">
        <v>137500</v>
      </c>
      <c r="G16" s="14">
        <v>125000</v>
      </c>
      <c r="H16" s="14">
        <v>112500</v>
      </c>
      <c r="I16" s="14">
        <v>100000</v>
      </c>
      <c r="J16" s="14">
        <v>87500</v>
      </c>
      <c r="K16" s="41">
        <v>75000</v>
      </c>
    </row>
  </sheetData>
  <mergeCells count="3">
    <mergeCell ref="B2:C2"/>
    <mergeCell ref="B8:C8"/>
    <mergeCell ref="F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6-2-1</vt:lpstr>
      <vt:lpstr>6-2-2</vt:lpstr>
      <vt:lpstr>'6-2-2'!grant</vt:lpstr>
      <vt:lpstr>grant</vt:lpstr>
      <vt:lpstr>'6-2-2'!options</vt:lpstr>
      <vt:lpstr>options</vt:lpstr>
      <vt:lpstr>'6-2-2'!period</vt:lpstr>
      <vt:lpstr>period</vt:lpstr>
      <vt:lpstr>'6-2-2'!stock</vt:lpstr>
      <vt:lpstr>stock</vt:lpstr>
      <vt:lpstr>'6-2-2'!Total</vt:lpstr>
      <vt:lpstr>Total</vt:lpstr>
      <vt:lpstr>'6-2-2'!Year1</vt:lpstr>
      <vt:lpstr>Year1</vt:lpstr>
      <vt:lpstr>'6-2-2'!Year2</vt:lpstr>
      <vt:lpstr>Year2</vt:lpstr>
      <vt:lpstr>'6-2-2'!Year3</vt:lpstr>
      <vt:lpstr>Year3</vt:lpstr>
      <vt:lpstr>'6-2-2'!Year4</vt:lpstr>
      <vt:lpstr>Year4</vt:lpstr>
      <vt:lpstr>'6-2-2'!Year5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Saraswati Pandit</cp:lastModifiedBy>
  <dcterms:created xsi:type="dcterms:W3CDTF">2024-10-03T16:33:16Z</dcterms:created>
  <dcterms:modified xsi:type="dcterms:W3CDTF">2026-09-06T20:49:47Z</dcterms:modified>
</cp:coreProperties>
</file>